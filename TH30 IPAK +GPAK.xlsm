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iqra.mujahid\Desktop\"/>
    </mc:Choice>
  </mc:AlternateContent>
  <xr:revisionPtr revIDLastSave="0" documentId="13_ncr:1_{C76C2F33-D83E-4117-80E4-F163E33E1A41}" xr6:coauthVersionLast="47" xr6:coauthVersionMax="47" xr10:uidLastSave="{00000000-0000-0000-0000-000000000000}"/>
  <bookViews>
    <workbookView xWindow="-108" yWindow="-108" windowWidth="23256" windowHeight="12456" xr2:uid="{F3223DF4-2A48-4CCB-86B9-0F816CAFBEFE}"/>
  </bookViews>
  <sheets>
    <sheet name="Filtered Balance" sheetId="1" r:id="rId1"/>
  </sheets>
  <externalReferences>
    <externalReference r:id="rId2"/>
  </externalReferences>
  <definedNames>
    <definedName name="_xlnm._FilterDatabase" localSheetId="0" hidden="1">'Filtered Balance'!$A$1:$V$23</definedName>
    <definedName name="allobjects">[1]P.SS1!#REF!</definedName>
    <definedName name="object">'[1]Finished Goods'!#REF!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1" l="1"/>
  <c r="P20" i="1"/>
</calcChain>
</file>

<file path=xl/sharedStrings.xml><?xml version="1.0" encoding="utf-8"?>
<sst xmlns="http://schemas.openxmlformats.org/spreadsheetml/2006/main" count="350" uniqueCount="130">
  <si>
    <t xml:space="preserve">
</t>
  </si>
  <si>
    <t>Sales Order #</t>
  </si>
  <si>
    <t>Created On</t>
  </si>
  <si>
    <t>Delivery Block Description</t>
  </si>
  <si>
    <t>Delivery Date</t>
  </si>
  <si>
    <t>Film Code</t>
  </si>
  <si>
    <t>Customer</t>
  </si>
  <si>
    <t>Item    #</t>
  </si>
  <si>
    <t>Order Qty</t>
  </si>
  <si>
    <t>Width 
(mm)</t>
  </si>
  <si>
    <t>Bal QtY</t>
  </si>
  <si>
    <t>Length  (m)</t>
  </si>
  <si>
    <t xml:space="preserve">FG             </t>
  </si>
  <si>
    <t>%age</t>
  </si>
  <si>
    <t>LC Expiry Date</t>
  </si>
  <si>
    <t>Delievery 'Terms</t>
  </si>
  <si>
    <t xml:space="preserve">Destination
</t>
  </si>
  <si>
    <t>Payment terms</t>
  </si>
  <si>
    <t>Core ID</t>
  </si>
  <si>
    <t>TS / MTS</t>
  </si>
  <si>
    <t>Sales Person</t>
  </si>
  <si>
    <t>Committed Month</t>
  </si>
  <si>
    <t>Dispatch To Address</t>
  </si>
  <si>
    <t>Packing Mode</t>
  </si>
  <si>
    <t>Customer Code</t>
  </si>
  <si>
    <t>Approval Status</t>
  </si>
  <si>
    <t xml:space="preserve">Price    </t>
  </si>
  <si>
    <t>D2</t>
  </si>
  <si>
    <t>D3</t>
  </si>
  <si>
    <t>May</t>
  </si>
  <si>
    <t>PO #</t>
  </si>
  <si>
    <t>Codes For Summary</t>
  </si>
  <si>
    <t>THO30</t>
  </si>
  <si>
    <t>IS</t>
  </si>
  <si>
    <t>-</t>
  </si>
  <si>
    <t>HPP</t>
  </si>
  <si>
    <t>Net Due in 30 Days</t>
  </si>
  <si>
    <t>Local Sales</t>
  </si>
  <si>
    <t>OS</t>
  </si>
  <si>
    <t>Jehanzeb Mirza</t>
  </si>
  <si>
    <t>Approved by Team Leader</t>
  </si>
  <si>
    <t>Salesperson Request</t>
  </si>
  <si>
    <t>05.10.2026</t>
  </si>
  <si>
    <t>Sahiwal</t>
  </si>
  <si>
    <t>Amber Abbas</t>
  </si>
  <si>
    <t>Approved by salesman</t>
  </si>
  <si>
    <t>Via WhatsApp</t>
  </si>
  <si>
    <t>30.09.2026</t>
  </si>
  <si>
    <t>Free of Cost</t>
  </si>
  <si>
    <t>Sample Sales</t>
  </si>
  <si>
    <t>email</t>
  </si>
  <si>
    <t>Lahore</t>
  </si>
  <si>
    <t>15.10.2026</t>
  </si>
  <si>
    <t>12.09.2026</t>
  </si>
  <si>
    <t>Dispatch Hold</t>
  </si>
  <si>
    <t>DYNAMIC PACKAGING (PVT.) LIMITED</t>
  </si>
  <si>
    <t>Suban Altaf</t>
  </si>
  <si>
    <t>KARACHI</t>
  </si>
  <si>
    <t>25.09.2026</t>
  </si>
  <si>
    <t>Export Sales</t>
  </si>
  <si>
    <t>M Ali Mirza</t>
  </si>
  <si>
    <t>Approved by HOD</t>
  </si>
  <si>
    <t>WHATS APP</t>
  </si>
  <si>
    <t>19.09.2026</t>
  </si>
  <si>
    <t>26.09.2026</t>
  </si>
  <si>
    <t>Fine Printer</t>
  </si>
  <si>
    <t>Rawalpindi</t>
  </si>
  <si>
    <t>Junaid Mahmood</t>
  </si>
  <si>
    <t>Street No. 24, Near Pak Kashmir Nasir Abad , Rawalpindi</t>
  </si>
  <si>
    <t>WHATS APP LAHORE dispatch</t>
  </si>
  <si>
    <t>Letter Credit Day 75</t>
  </si>
  <si>
    <t>KASMY PACK (PVT.) LIMITED</t>
  </si>
  <si>
    <t>49km, Kasur, Pattoki, Multan Road, Lahore PAK , Lahore</t>
  </si>
  <si>
    <t>28.09.2026</t>
  </si>
  <si>
    <t>10.10.2026</t>
  </si>
  <si>
    <t>16.09.2026</t>
  </si>
  <si>
    <t>27.09.2026</t>
  </si>
  <si>
    <t>KOMPASS PAKISTAN (PRIVATE) LIMITED</t>
  </si>
  <si>
    <t>F-37, North Western Industrial Zone, Port Qasim , KARACHI</t>
  </si>
  <si>
    <t>22.10.2026</t>
  </si>
  <si>
    <t>LPC MILLS (PRIVATE)LTD</t>
  </si>
  <si>
    <t>LAHORE</t>
  </si>
  <si>
    <t>8-ANAND ROAD UPPER MALL,LAHORE , LAHORE</t>
  </si>
  <si>
    <t>Net Due in 45 Days</t>
  </si>
  <si>
    <t>14.09.2026</t>
  </si>
  <si>
    <t>Nextech Packages (Pvt.)Ltd</t>
  </si>
  <si>
    <t>CNG Pump Harrappa , Sahiwal</t>
  </si>
  <si>
    <t>18.09.2026</t>
  </si>
  <si>
    <t>NISAR ART PRESS (PVT) LIMITED</t>
  </si>
  <si>
    <t>Plot No.479, Sundar Industrial Estate, Raiwind Road , Lahore</t>
  </si>
  <si>
    <t>PD-00050</t>
  </si>
  <si>
    <t>TH21-30</t>
  </si>
  <si>
    <t>THI30</t>
  </si>
  <si>
    <t>OASIS PACKAGING INDUSTRIES (PVT) LIMITED</t>
  </si>
  <si>
    <t>PLOT NO-199 SUNDAR INDUSTRIAL ESTATE , Lahore</t>
  </si>
  <si>
    <t>TO-GPAK-260930</t>
  </si>
  <si>
    <t>To-GPAK-260902</t>
  </si>
  <si>
    <t>ROSHAN PACKAGES LIMITED</t>
  </si>
  <si>
    <t>Texo Poly Industries (Private) Limited</t>
  </si>
  <si>
    <t>0.5 KM, Off Islampura Road, Kahna Kacha Road, , Lahore</t>
  </si>
  <si>
    <t>The Box Factory Limited</t>
  </si>
  <si>
    <t>Avalized draft 90 Days from BL</t>
  </si>
  <si>
    <t>Dar es Salam</t>
  </si>
  <si>
    <t>PLot No 105, Mwasonga Kisarawe2 Kigamboni , Dar es Salam</t>
  </si>
  <si>
    <t>04.11.2026</t>
  </si>
  <si>
    <t>2100166 /26001560</t>
  </si>
  <si>
    <t>Approval Pending</t>
  </si>
  <si>
    <t>Sept</t>
  </si>
  <si>
    <t>TH30</t>
  </si>
  <si>
    <t>Clear for Dispatch</t>
  </si>
  <si>
    <t>Oct</t>
  </si>
  <si>
    <t>10008927THO3030660</t>
  </si>
  <si>
    <t>10008836THO302101277</t>
  </si>
  <si>
    <t>13000801THO3020945</t>
  </si>
  <si>
    <t>13000801THO30301005</t>
  </si>
  <si>
    <t>10008994THO3010864</t>
  </si>
  <si>
    <t>10008846THO3010510</t>
  </si>
  <si>
    <t>10008846THO3020660</t>
  </si>
  <si>
    <t>10008846THO3030680</t>
  </si>
  <si>
    <t>10008846THO3040700</t>
  </si>
  <si>
    <t>10008846THO3050720</t>
  </si>
  <si>
    <t>10008846THO3060930</t>
  </si>
  <si>
    <t>10008846THO30801010</t>
  </si>
  <si>
    <t>10008908THO3020760</t>
  </si>
  <si>
    <t>10008954THI3010720</t>
  </si>
  <si>
    <t>10008875THI3010650</t>
  </si>
  <si>
    <t>10008920THO30301215</t>
  </si>
  <si>
    <t>11001791TH21-3050680</t>
  </si>
  <si>
    <t>Afsa Integrado FZ-LLC.</t>
  </si>
  <si>
    <t>Elevate Trading FZE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</si>
</sst>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F800]dddd\,\ mmmm\ dd\,\ yyyy"/>
    <numFmt numFmtId="165" formatCode="dd\-mm\-yyyy"/>
    <numFmt numFmtId="166" formatCode="_-* ###0.00_-;\-* #,##0.00_-;_-* &quot;-&quot;_-;_-@_-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72 Black"/>
      <family val="2"/>
    </font>
    <font>
      <sz val="12"/>
      <color theme="0"/>
      <name val="72 Black"/>
      <family val="2"/>
    </font>
    <font>
      <sz val="14"/>
      <name val="Aptos Narrow"/>
      <family val="2"/>
      <scheme val="minor"/>
    </font>
    <font>
      <b/>
      <sz val="4"/>
      <color theme="0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6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15" fontId="2" fillId="2" borderId="1" xfId="0" applyNumberFormat="1" applyFont="1" applyFill="1" applyBorder="1" applyAlignment="1">
      <alignment horizontal="left" vertical="center"/>
    </xf>
    <xf numFmtId="14" fontId="2" fillId="2" borderId="1" xfId="0" applyNumberFormat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 wrapText="1"/>
    </xf>
    <xf numFmtId="0" fontId="2" fillId="2" borderId="1" xfId="0" quotePrefix="1" applyFont="1" applyFill="1" applyBorder="1" applyAlignment="1">
      <alignment horizontal="left" vertical="center"/>
    </xf>
    <xf numFmtId="164" fontId="4" fillId="0" borderId="0" xfId="0" applyNumberFormat="1" applyFont="1"/>
    <xf numFmtId="0" fontId="4" fillId="0" borderId="0" xfId="0" applyFont="1"/>
    <xf numFmtId="0" fontId="5" fillId="0" borderId="0" xfId="2" applyNumberFormat="1" applyFont="1" applyFill="1" applyBorder="1" applyAlignment="1" applyProtection="1">
      <alignment vertical="center"/>
    </xf>
    <xf numFmtId="0" fontId="6" fillId="0" borderId="0" xfId="0" applyFont="1"/>
    <xf numFmtId="165" fontId="6" fillId="0" borderId="0" xfId="0" applyNumberFormat="1" applyFont="1" applyAlignment="1">
      <alignment horizontal="left"/>
    </xf>
    <xf numFmtId="0" fontId="7" fillId="0" borderId="0" xfId="0" applyFont="1"/>
    <xf numFmtId="0" fontId="6" fillId="0" borderId="0" xfId="2" applyNumberFormat="1" applyFont="1" applyFill="1" applyBorder="1" applyAlignment="1">
      <alignment vertical="center"/>
    </xf>
    <xf numFmtId="0" fontId="6" fillId="0" borderId="0" xfId="3" applyNumberFormat="1" applyFont="1" applyFill="1" applyBorder="1" applyAlignment="1">
      <alignment horizontal="left"/>
    </xf>
    <xf numFmtId="166" fontId="6" fillId="0" borderId="0" xfId="2" applyNumberFormat="1" applyFont="1" applyFill="1" applyBorder="1" applyAlignment="1">
      <alignment horizontal="center" vertical="center"/>
    </xf>
    <xf numFmtId="43" fontId="6" fillId="0" borderId="0" xfId="2" applyFont="1" applyFill="1" applyBorder="1"/>
    <xf numFmtId="10" fontId="6" fillId="0" borderId="0" xfId="1" applyNumberFormat="1" applyFont="1" applyFill="1" applyBorder="1" applyAlignment="1">
      <alignment horizontal="right"/>
    </xf>
    <xf numFmtId="14" fontId="6" fillId="0" borderId="0" xfId="0" applyNumberFormat="1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2" applyNumberFormat="1" applyFont="1" applyFill="1" applyBorder="1" applyAlignment="1">
      <alignment horizontal="center" vertical="center"/>
    </xf>
    <xf numFmtId="165" fontId="6" fillId="0" borderId="0" xfId="0" applyNumberFormat="1" applyFont="1" applyAlignment="1">
      <alignment horizontal="center" vertical="top"/>
    </xf>
    <xf numFmtId="43" fontId="6" fillId="0" borderId="0" xfId="2" applyFont="1" applyFill="1" applyBorder="1" applyAlignment="1">
      <alignment vertical="center"/>
    </xf>
    <xf numFmtId="0" fontId="8" fillId="0" borderId="0" xfId="0" applyFont="1" applyAlignment="1">
      <alignment horizontal="left"/>
    </xf>
    <xf numFmtId="14" fontId="0" fillId="0" borderId="0" xfId="0" applyNumberFormat="1"/>
    <xf numFmtId="0" fontId="0" fillId="3" borderId="0" xfId="0" applyFill="1"/>
  </cellXfs>
  <cellStyles count="4">
    <cellStyle name="Comma 135" xfId="2" xr:uid="{C3CA72F5-C39B-4AF8-A88A-F2BC60657496}"/>
    <cellStyle name="Comma 2 2 6 3" xfId="3" xr:uid="{894DA896-A68A-49C4-A01D-DC23C7B4FD74}"/>
    <cellStyle name="Normal" xfId="0" builtinId="0"/>
    <cellStyle name="Percent" xfId="1" builtinId="5"/>
  </cellStyles>
  <dxfs count="28">
    <dxf>
      <fill>
        <patternFill>
          <bgColor rgb="FFFFB6C1"/>
        </patternFill>
      </fill>
    </dxf>
    <dxf>
      <fill>
        <patternFill>
          <bgColor rgb="FF63FF63"/>
        </patternFill>
      </fill>
    </dxf>
    <dxf>
      <fill>
        <patternFill>
          <bgColor rgb="FFC1FFC1"/>
        </patternFill>
      </fill>
    </dxf>
    <dxf>
      <fill>
        <patternFill>
          <bgColor rgb="FFFFFFA4"/>
        </patternFill>
      </fill>
    </dxf>
    <dxf>
      <fill>
        <patternFill>
          <bgColor rgb="FFFFDAB9"/>
        </patternFill>
      </fill>
    </dxf>
    <dxf>
      <fill>
        <patternFill>
          <bgColor rgb="FFFFFF99"/>
        </patternFill>
      </fill>
    </dxf>
    <dxf>
      <fill>
        <patternFill>
          <bgColor rgb="FFFFDAB9"/>
        </patternFill>
      </fill>
    </dxf>
    <dxf>
      <fill>
        <patternFill>
          <bgColor rgb="FFFFB6C1"/>
        </patternFill>
      </fill>
    </dxf>
    <dxf>
      <fill>
        <patternFill>
          <bgColor rgb="FFFFB6C1"/>
        </patternFill>
      </fill>
    </dxf>
    <dxf>
      <fill>
        <patternFill>
          <bgColor rgb="FFFFB6C1"/>
        </patternFill>
      </fill>
    </dxf>
    <dxf>
      <fill>
        <patternFill>
          <bgColor rgb="FFFFB6C1"/>
        </patternFill>
      </fill>
    </dxf>
    <dxf>
      <fill>
        <patternFill>
          <bgColor rgb="FFFFB6C1"/>
        </patternFill>
      </fill>
    </dxf>
    <dxf>
      <fill>
        <patternFill>
          <bgColor rgb="FFFFB6C1"/>
        </patternFill>
      </fill>
    </dxf>
    <dxf>
      <fill>
        <patternFill>
          <bgColor rgb="FFC1FFC1"/>
        </patternFill>
      </fill>
    </dxf>
    <dxf>
      <fill>
        <patternFill>
          <bgColor rgb="FFFFDAB9"/>
        </patternFill>
      </fill>
    </dxf>
    <dxf>
      <fill>
        <patternFill>
          <bgColor rgb="FFFFDAB9"/>
        </patternFill>
      </fill>
    </dxf>
    <dxf>
      <fill>
        <patternFill>
          <bgColor rgb="FFFFB6C1"/>
        </patternFill>
      </fill>
    </dxf>
    <dxf>
      <fill>
        <patternFill>
          <bgColor rgb="FFFFB6C1"/>
        </patternFill>
      </fill>
    </dxf>
    <dxf>
      <fill>
        <patternFill>
          <bgColor rgb="FFFFB6C1"/>
        </patternFill>
      </fill>
    </dxf>
    <dxf>
      <fill>
        <patternFill>
          <bgColor rgb="FFFFB6C1"/>
        </patternFill>
      </fill>
    </dxf>
    <dxf>
      <fill>
        <patternFill>
          <bgColor rgb="FFFFB6C1"/>
        </patternFill>
      </fill>
    </dxf>
    <dxf>
      <fill>
        <patternFill>
          <bgColor rgb="FFFFB6C1"/>
        </patternFill>
      </fill>
    </dxf>
    <dxf>
      <fill>
        <patternFill>
          <bgColor rgb="FFC1FFC1"/>
        </patternFill>
      </fill>
    </dxf>
    <dxf>
      <fill>
        <patternFill>
          <bgColor rgb="FFFFDAB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C99FF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zair.Ahsan/AppData/Local/Microsoft/Windows/INetCache/Content.Outlook/ZB6CDMX0/PlanningPET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.MS1"/>
      <sheetName val="Dynamics Enum Cache"/>
      <sheetName val="L.PS1"/>
      <sheetName val="L.SS1"/>
      <sheetName val="AL.PS1"/>
      <sheetName val="AL.SS1"/>
      <sheetName val="AL.MS1"/>
      <sheetName val="P.PS1"/>
      <sheetName val="P.SS1"/>
      <sheetName val="P.MS1"/>
      <sheetName val="Dispatch"/>
      <sheetName val="Finished Goods"/>
      <sheetName val="Balance Sheet"/>
      <sheetName val="Export Summary"/>
      <sheetName val="Controls"/>
      <sheetName val="Configurations"/>
      <sheetName val="AR-MS-MT-PS-BS&amp;FGPIVOT "/>
      <sheetName val="Summary Formula"/>
      <sheetName val="JUMBO ROLL"/>
      <sheetName val="Archive"/>
      <sheetName val="Machine Plan"/>
      <sheetName val="Total TN"/>
      <sheetName val="Samples"/>
      <sheetName val="Dispatch Segregation "/>
      <sheetName val="PlanningPETP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5BEB9-52C7-491C-8987-7DA900894FAB}">
  <sheetPr transitionEvaluation="1" codeName="Sheet27">
    <pageSetUpPr fitToPage="1"/>
  </sheetPr>
  <dimension ref="A1:AI34"/>
  <sheetViews>
    <sheetView tabSelected="1" topLeftCell="D17" zoomScale="80" zoomScaleNormal="80" workbookViewId="0">
      <selection activeCell="P1" sqref="P1:P1048576"/>
    </sheetView>
  </sheetViews>
  <sheetFormatPr defaultColWidth="9.109375" defaultRowHeight="14.4" x14ac:dyDescent="0.3"/>
  <cols>
    <col min="1" max="1" width="15" bestFit="1" customWidth="1"/>
    <col min="2" max="2" width="16.109375" style="24" bestFit="1" customWidth="1"/>
    <col min="3" max="3" width="36.6640625" bestFit="1" customWidth="1"/>
    <col min="4" max="4" width="19" style="24" bestFit="1" customWidth="1"/>
    <col min="5" max="6" width="14.88671875" bestFit="1" customWidth="1"/>
    <col min="7" max="7" width="1.21875" bestFit="1" customWidth="1"/>
    <col min="8" max="8" width="18.88671875" bestFit="1" customWidth="1"/>
    <col min="9" max="9" width="11.33203125" bestFit="1" customWidth="1"/>
    <col min="10" max="10" width="77.109375" bestFit="1" customWidth="1"/>
    <col min="11" max="11" width="16.109375" bestFit="1" customWidth="1"/>
    <col min="12" max="12" width="11" bestFit="1" customWidth="1"/>
    <col min="13" max="13" width="13" bestFit="1" customWidth="1"/>
    <col min="14" max="14" width="8.21875" bestFit="1" customWidth="1"/>
    <col min="15" max="15" width="1.21875" bestFit="1" customWidth="1"/>
    <col min="16" max="16" width="14.88671875" bestFit="1" customWidth="1"/>
    <col min="17" max="17" width="14.109375" bestFit="1" customWidth="1"/>
    <col min="18" max="18" width="11.6640625" bestFit="1" customWidth="1"/>
    <col min="19" max="19" width="20.6640625" style="24" bestFit="1" customWidth="1"/>
    <col min="20" max="20" width="34.44140625" bestFit="1" customWidth="1"/>
    <col min="21" max="21" width="21.33203125" bestFit="1" customWidth="1"/>
    <col min="22" max="23" width="21.77734375" bestFit="1" customWidth="1"/>
    <col min="24" max="24" width="25.44140625" bestFit="1" customWidth="1"/>
    <col min="25" max="25" width="91.109375" bestFit="1" customWidth="1"/>
    <col min="26" max="26" width="19.88671875" bestFit="1" customWidth="1"/>
    <col min="27" max="27" width="21.88671875" bestFit="1" customWidth="1"/>
    <col min="28" max="28" width="29.5546875" bestFit="1" customWidth="1"/>
    <col min="29" max="29" width="12.6640625" bestFit="1" customWidth="1"/>
    <col min="30" max="31" width="15.5546875" bestFit="1" customWidth="1"/>
    <col min="32" max="32" width="6.6640625" bestFit="1" customWidth="1"/>
    <col min="33" max="33" width="26.5546875" bestFit="1" customWidth="1"/>
    <col min="34" max="34" width="28.21875" bestFit="1" customWidth="1"/>
    <col min="35" max="35" width="23.88671875" bestFit="1" customWidth="1"/>
    <col min="40" max="40" width="3.6640625" bestFit="1" customWidth="1"/>
    <col min="52" max="52" width="4.44140625" bestFit="1" customWidth="1"/>
    <col min="56" max="56" width="10.88671875" bestFit="1" customWidth="1"/>
    <col min="58" max="58" width="10.88671875" bestFit="1" customWidth="1"/>
    <col min="59" max="59" width="6" bestFit="1" customWidth="1"/>
    <col min="62" max="62" width="11" bestFit="1" customWidth="1"/>
    <col min="69" max="69" width="3.6640625" bestFit="1" customWidth="1"/>
    <col min="78" max="78" width="2.33203125" bestFit="1" customWidth="1"/>
    <col min="80" max="80" width="2.33203125" bestFit="1" customWidth="1"/>
    <col min="83" max="83" width="7.6640625" bestFit="1" customWidth="1"/>
    <col min="84" max="84" width="16.6640625" bestFit="1" customWidth="1"/>
    <col min="85" max="85" width="12.33203125" bestFit="1" customWidth="1"/>
    <col min="86" max="86" width="37.44140625" bestFit="1" customWidth="1"/>
    <col min="87" max="87" width="20.6640625" bestFit="1" customWidth="1"/>
  </cols>
  <sheetData>
    <row r="1" spans="1:35" s="8" customFormat="1" ht="56.25" customHeight="1" x14ac:dyDescent="0.35">
      <c r="A1" s="1" t="s">
        <v>0</v>
      </c>
      <c r="B1" s="3" t="s">
        <v>2</v>
      </c>
      <c r="C1" s="1" t="s">
        <v>3</v>
      </c>
      <c r="D1" s="3" t="s">
        <v>4</v>
      </c>
      <c r="E1" s="1" t="s">
        <v>8</v>
      </c>
      <c r="F1" s="4" t="s">
        <v>5</v>
      </c>
      <c r="G1" s="5" t="s">
        <v>34</v>
      </c>
      <c r="H1" s="2" t="s">
        <v>1</v>
      </c>
      <c r="I1" s="1" t="s">
        <v>7</v>
      </c>
      <c r="J1" s="1" t="s">
        <v>6</v>
      </c>
      <c r="K1" s="1" t="s">
        <v>11</v>
      </c>
      <c r="L1" s="1" t="s">
        <v>18</v>
      </c>
      <c r="M1" s="1" t="s">
        <v>19</v>
      </c>
      <c r="N1" s="5" t="s">
        <v>9</v>
      </c>
      <c r="O1" s="5" t="s">
        <v>34</v>
      </c>
      <c r="P1" s="1" t="s">
        <v>10</v>
      </c>
      <c r="Q1" s="1" t="s">
        <v>12</v>
      </c>
      <c r="R1" s="6" t="s">
        <v>13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7"/>
    </row>
    <row r="2" spans="1:35" ht="18" x14ac:dyDescent="0.35">
      <c r="A2" s="9" t="s">
        <v>127</v>
      </c>
      <c r="B2" s="11" t="s">
        <v>63</v>
      </c>
      <c r="C2" s="10" t="s">
        <v>109</v>
      </c>
      <c r="D2" s="11" t="s">
        <v>74</v>
      </c>
      <c r="E2" s="15">
        <v>1436.85</v>
      </c>
      <c r="F2" s="12" t="s">
        <v>91</v>
      </c>
      <c r="G2" s="13"/>
      <c r="H2" s="10">
        <v>11001791</v>
      </c>
      <c r="I2" s="14">
        <v>50</v>
      </c>
      <c r="J2" s="13" t="s">
        <v>100</v>
      </c>
      <c r="K2" s="13">
        <v>6450</v>
      </c>
      <c r="L2" s="13">
        <v>3</v>
      </c>
      <c r="M2" s="13" t="s">
        <v>38</v>
      </c>
      <c r="N2" s="13">
        <v>680</v>
      </c>
      <c r="O2" s="13"/>
      <c r="P2" s="15">
        <v>1436.85</v>
      </c>
      <c r="Q2" s="16">
        <v>0</v>
      </c>
      <c r="R2" s="17">
        <v>-1</v>
      </c>
      <c r="S2" s="18"/>
      <c r="T2" s="19" t="s">
        <v>101</v>
      </c>
      <c r="U2" s="10" t="s">
        <v>102</v>
      </c>
      <c r="V2" s="10" t="s">
        <v>59</v>
      </c>
      <c r="W2" s="20" t="s">
        <v>60</v>
      </c>
      <c r="X2" s="21" t="s">
        <v>110</v>
      </c>
      <c r="Y2" s="13" t="s">
        <v>103</v>
      </c>
      <c r="Z2" s="13" t="s">
        <v>35</v>
      </c>
      <c r="AA2" s="13">
        <v>2100067</v>
      </c>
      <c r="AB2" s="13" t="s">
        <v>61</v>
      </c>
      <c r="AC2" s="22">
        <v>0</v>
      </c>
      <c r="AD2" s="22" t="s">
        <v>63</v>
      </c>
      <c r="AE2" s="22" t="s">
        <v>104</v>
      </c>
      <c r="AF2" s="22"/>
      <c r="AG2" s="23" t="s">
        <v>105</v>
      </c>
      <c r="AH2" t="s">
        <v>108</v>
      </c>
    </row>
    <row r="3" spans="1:35" ht="18" x14ac:dyDescent="0.35">
      <c r="A3" s="9"/>
      <c r="B3" s="11"/>
      <c r="C3" s="10"/>
      <c r="D3" s="11"/>
      <c r="E3" s="15"/>
      <c r="F3" s="12" t="s">
        <v>34</v>
      </c>
      <c r="G3" s="13"/>
      <c r="H3" s="10"/>
      <c r="I3" s="14"/>
      <c r="J3" s="13"/>
      <c r="K3" s="13"/>
      <c r="L3" s="13"/>
      <c r="M3" s="13"/>
      <c r="N3" s="13"/>
      <c r="O3" s="13"/>
      <c r="P3" s="15"/>
      <c r="Q3" s="16"/>
      <c r="R3" s="17"/>
      <c r="S3" s="18"/>
      <c r="T3" s="19"/>
      <c r="U3" s="10"/>
      <c r="V3" s="10"/>
      <c r="W3" s="20"/>
      <c r="X3" s="21"/>
      <c r="Y3" s="13"/>
      <c r="Z3" s="13"/>
      <c r="AA3" s="13"/>
      <c r="AB3" s="13"/>
      <c r="AC3" s="22"/>
      <c r="AD3" s="22"/>
      <c r="AE3" s="22"/>
      <c r="AF3" s="22"/>
      <c r="AG3" s="23"/>
    </row>
    <row r="4" spans="1:35" ht="18" x14ac:dyDescent="0.35">
      <c r="A4" s="9"/>
      <c r="B4" s="11"/>
      <c r="C4" s="10"/>
      <c r="D4" s="11"/>
      <c r="E4" s="15"/>
      <c r="F4" s="12"/>
      <c r="G4" s="13"/>
      <c r="H4" s="10"/>
      <c r="I4" s="14"/>
      <c r="J4" s="13"/>
      <c r="K4" s="13"/>
      <c r="L4" s="13"/>
      <c r="M4" s="13"/>
      <c r="N4" s="13"/>
      <c r="O4" s="13"/>
      <c r="P4" s="15"/>
      <c r="Q4" s="16"/>
      <c r="R4" s="17"/>
      <c r="S4" s="18"/>
      <c r="T4" s="19"/>
      <c r="U4" s="10"/>
      <c r="V4" s="10"/>
      <c r="W4" s="20"/>
      <c r="X4" s="21"/>
      <c r="Y4" s="13"/>
      <c r="Z4" s="13"/>
      <c r="AA4" s="13"/>
      <c r="AB4" s="13"/>
      <c r="AC4" s="22"/>
      <c r="AD4" s="22"/>
      <c r="AE4" s="22"/>
      <c r="AF4" s="22"/>
      <c r="AG4" s="23"/>
    </row>
    <row r="5" spans="1:35" ht="18" x14ac:dyDescent="0.35">
      <c r="A5" s="9" t="s">
        <v>125</v>
      </c>
      <c r="B5" s="11" t="s">
        <v>75</v>
      </c>
      <c r="C5" s="10" t="s">
        <v>41</v>
      </c>
      <c r="D5" s="11" t="s">
        <v>76</v>
      </c>
      <c r="E5" s="15">
        <v>2000</v>
      </c>
      <c r="F5" s="12" t="s">
        <v>92</v>
      </c>
      <c r="G5" s="13"/>
      <c r="H5" s="10">
        <v>10008875</v>
      </c>
      <c r="I5" s="14">
        <v>10</v>
      </c>
      <c r="J5" s="13" t="s">
        <v>93</v>
      </c>
      <c r="K5" s="13">
        <v>6450</v>
      </c>
      <c r="L5" s="13">
        <v>3</v>
      </c>
      <c r="M5" s="13" t="s">
        <v>33</v>
      </c>
      <c r="N5" s="13">
        <v>650</v>
      </c>
      <c r="O5" s="13"/>
      <c r="P5" s="15">
        <v>625.86</v>
      </c>
      <c r="Q5" s="16">
        <v>0</v>
      </c>
      <c r="R5" s="17">
        <v>-0.31292999999999999</v>
      </c>
      <c r="S5" s="18"/>
      <c r="T5" s="19" t="s">
        <v>36</v>
      </c>
      <c r="U5" s="10" t="s">
        <v>51</v>
      </c>
      <c r="V5" s="10" t="s">
        <v>37</v>
      </c>
      <c r="W5" s="20" t="s">
        <v>44</v>
      </c>
      <c r="X5" s="21" t="s">
        <v>107</v>
      </c>
      <c r="Y5" s="13" t="s">
        <v>94</v>
      </c>
      <c r="Z5" s="13" t="s">
        <v>35</v>
      </c>
      <c r="AA5" s="13">
        <v>2200469</v>
      </c>
      <c r="AB5" s="13" t="s">
        <v>40</v>
      </c>
      <c r="AC5" s="22">
        <v>730</v>
      </c>
      <c r="AD5" s="22"/>
      <c r="AE5" s="22"/>
      <c r="AF5" s="22"/>
      <c r="AG5" s="23" t="s">
        <v>96</v>
      </c>
      <c r="AH5" t="s">
        <v>108</v>
      </c>
    </row>
    <row r="6" spans="1:35" ht="18" x14ac:dyDescent="0.35">
      <c r="A6" s="9" t="s">
        <v>124</v>
      </c>
      <c r="B6" s="11" t="s">
        <v>58</v>
      </c>
      <c r="C6" s="10" t="s">
        <v>41</v>
      </c>
      <c r="D6" s="11" t="s">
        <v>47</v>
      </c>
      <c r="E6" s="15">
        <v>500</v>
      </c>
      <c r="F6" s="12" t="s">
        <v>92</v>
      </c>
      <c r="G6" s="13"/>
      <c r="H6" s="10">
        <v>10008954</v>
      </c>
      <c r="I6" s="14">
        <v>10</v>
      </c>
      <c r="J6" s="13" t="s">
        <v>93</v>
      </c>
      <c r="K6" s="13">
        <v>6450</v>
      </c>
      <c r="L6" s="13">
        <v>3</v>
      </c>
      <c r="M6" s="13" t="s">
        <v>33</v>
      </c>
      <c r="N6" s="13">
        <v>720</v>
      </c>
      <c r="O6" s="13"/>
      <c r="P6" s="15">
        <v>500</v>
      </c>
      <c r="Q6" s="16">
        <v>0</v>
      </c>
      <c r="R6" s="17">
        <v>-1</v>
      </c>
      <c r="S6" s="18"/>
      <c r="T6" s="19" t="s">
        <v>36</v>
      </c>
      <c r="U6" s="10" t="s">
        <v>51</v>
      </c>
      <c r="V6" s="10" t="s">
        <v>37</v>
      </c>
      <c r="W6" s="20" t="s">
        <v>44</v>
      </c>
      <c r="X6" s="21" t="s">
        <v>107</v>
      </c>
      <c r="Y6" s="13" t="s">
        <v>94</v>
      </c>
      <c r="Z6" s="13" t="s">
        <v>35</v>
      </c>
      <c r="AA6" s="13">
        <v>2200469</v>
      </c>
      <c r="AB6" s="13" t="s">
        <v>45</v>
      </c>
      <c r="AC6" s="22">
        <v>730</v>
      </c>
      <c r="AD6" s="22"/>
      <c r="AE6" s="22"/>
      <c r="AF6" s="22"/>
      <c r="AG6" s="23" t="s">
        <v>95</v>
      </c>
      <c r="AH6" t="s">
        <v>108</v>
      </c>
    </row>
    <row r="7" spans="1:35" ht="18" x14ac:dyDescent="0.35">
      <c r="A7" s="9"/>
      <c r="B7" s="11"/>
      <c r="C7" s="10"/>
      <c r="D7" s="11"/>
      <c r="E7" s="15">
        <v>1100</v>
      </c>
      <c r="F7" s="12" t="s">
        <v>92</v>
      </c>
      <c r="G7" s="13"/>
      <c r="H7" s="10">
        <v>10009007</v>
      </c>
      <c r="I7" s="14">
        <v>10</v>
      </c>
      <c r="J7" s="13" t="s">
        <v>93</v>
      </c>
      <c r="K7" s="13">
        <v>6450</v>
      </c>
      <c r="L7" s="13">
        <v>3</v>
      </c>
      <c r="M7" s="13" t="s">
        <v>33</v>
      </c>
      <c r="N7" s="13">
        <v>780</v>
      </c>
      <c r="O7" s="13"/>
      <c r="P7" s="15">
        <v>1100</v>
      </c>
      <c r="Q7" s="16"/>
      <c r="R7" s="17"/>
      <c r="S7" s="18"/>
      <c r="T7" s="19"/>
      <c r="U7" s="10"/>
      <c r="V7" s="10"/>
      <c r="W7" s="20"/>
      <c r="X7" s="21"/>
      <c r="Y7" s="13"/>
      <c r="Z7" s="13"/>
      <c r="AA7" s="13"/>
      <c r="AB7" s="13"/>
      <c r="AC7" s="22"/>
      <c r="AD7" s="22"/>
      <c r="AE7" s="22"/>
      <c r="AF7" s="22"/>
      <c r="AG7" s="23"/>
    </row>
    <row r="8" spans="1:35" ht="18" x14ac:dyDescent="0.35">
      <c r="A8" s="9" t="s">
        <v>113</v>
      </c>
      <c r="B8" s="11" t="s">
        <v>75</v>
      </c>
      <c r="C8" s="10" t="s">
        <v>109</v>
      </c>
      <c r="D8" s="11" t="s">
        <v>75</v>
      </c>
      <c r="E8" s="15">
        <v>50</v>
      </c>
      <c r="F8" s="12" t="s">
        <v>32</v>
      </c>
      <c r="G8" s="13"/>
      <c r="H8" s="10">
        <v>13000801</v>
      </c>
      <c r="I8" s="14">
        <v>20</v>
      </c>
      <c r="J8" s="13" t="s">
        <v>77</v>
      </c>
      <c r="K8" s="13">
        <v>2000</v>
      </c>
      <c r="L8" s="13">
        <v>6</v>
      </c>
      <c r="M8" s="13" t="s">
        <v>38</v>
      </c>
      <c r="N8" s="13">
        <v>945</v>
      </c>
      <c r="O8" s="13"/>
      <c r="P8" s="15">
        <v>50</v>
      </c>
      <c r="Q8" s="16">
        <v>0</v>
      </c>
      <c r="R8" s="17">
        <v>-1</v>
      </c>
      <c r="S8" s="18"/>
      <c r="T8" s="19" t="s">
        <v>48</v>
      </c>
      <c r="U8" s="10" t="s">
        <v>57</v>
      </c>
      <c r="V8" s="10" t="s">
        <v>49</v>
      </c>
      <c r="W8" s="20"/>
      <c r="X8" s="21" t="s">
        <v>107</v>
      </c>
      <c r="Y8" s="13" t="s">
        <v>78</v>
      </c>
      <c r="Z8" s="13"/>
      <c r="AA8" s="13">
        <v>2200294</v>
      </c>
      <c r="AB8" s="13"/>
      <c r="AC8" s="22">
        <v>542</v>
      </c>
      <c r="AD8" s="22"/>
      <c r="AE8" s="22"/>
      <c r="AF8" s="22"/>
      <c r="AG8" s="23" t="s">
        <v>50</v>
      </c>
      <c r="AH8" t="s">
        <v>108</v>
      </c>
    </row>
    <row r="9" spans="1:35" ht="18" x14ac:dyDescent="0.35">
      <c r="A9" s="9" t="s">
        <v>114</v>
      </c>
      <c r="B9" s="11" t="s">
        <v>75</v>
      </c>
      <c r="C9" s="10" t="s">
        <v>109</v>
      </c>
      <c r="D9" s="11" t="s">
        <v>75</v>
      </c>
      <c r="E9" s="15">
        <v>50</v>
      </c>
      <c r="F9" s="12" t="s">
        <v>32</v>
      </c>
      <c r="G9" s="13"/>
      <c r="H9" s="10">
        <v>13000801</v>
      </c>
      <c r="I9" s="14">
        <v>30</v>
      </c>
      <c r="J9" s="13" t="s">
        <v>77</v>
      </c>
      <c r="K9" s="13">
        <v>2000</v>
      </c>
      <c r="L9" s="13">
        <v>6</v>
      </c>
      <c r="M9" s="13" t="s">
        <v>38</v>
      </c>
      <c r="N9" s="13">
        <v>1005</v>
      </c>
      <c r="O9" s="13"/>
      <c r="P9" s="15">
        <v>50</v>
      </c>
      <c r="Q9" s="16">
        <v>0</v>
      </c>
      <c r="R9" s="17">
        <v>-1</v>
      </c>
      <c r="S9" s="18"/>
      <c r="T9" s="19" t="s">
        <v>48</v>
      </c>
      <c r="U9" s="10" t="s">
        <v>57</v>
      </c>
      <c r="V9" s="10" t="s">
        <v>49</v>
      </c>
      <c r="W9" s="20"/>
      <c r="X9" s="21" t="s">
        <v>107</v>
      </c>
      <c r="Y9" s="13" t="s">
        <v>78</v>
      </c>
      <c r="Z9" s="13"/>
      <c r="AA9" s="13">
        <v>2200294</v>
      </c>
      <c r="AB9" s="13"/>
      <c r="AC9" s="22">
        <v>542</v>
      </c>
      <c r="AD9" s="22"/>
      <c r="AE9" s="22"/>
      <c r="AF9" s="22"/>
      <c r="AG9" s="23" t="s">
        <v>50</v>
      </c>
      <c r="AH9" t="s">
        <v>108</v>
      </c>
    </row>
    <row r="10" spans="1:35" ht="18" x14ac:dyDescent="0.35">
      <c r="A10" s="9"/>
      <c r="B10" s="11"/>
      <c r="C10" s="10"/>
      <c r="D10" s="11"/>
      <c r="E10" s="15"/>
      <c r="F10" s="12" t="s">
        <v>34</v>
      </c>
      <c r="G10" s="13"/>
      <c r="H10" s="10"/>
      <c r="I10" s="14"/>
      <c r="J10" s="13"/>
      <c r="K10" s="13"/>
      <c r="L10" s="13"/>
      <c r="M10" s="13"/>
      <c r="N10" s="13"/>
      <c r="O10" s="13"/>
      <c r="P10" s="15"/>
      <c r="Q10" s="16"/>
      <c r="R10" s="17"/>
      <c r="S10" s="18"/>
      <c r="T10" s="19"/>
      <c r="U10" s="10"/>
      <c r="V10" s="10"/>
      <c r="W10" s="20"/>
      <c r="X10" s="21"/>
      <c r="Y10" s="13"/>
      <c r="Z10" s="13"/>
      <c r="AA10" s="13"/>
      <c r="AB10" s="13"/>
      <c r="AC10" s="22"/>
      <c r="AD10" s="22"/>
      <c r="AE10" s="22"/>
      <c r="AF10" s="22"/>
      <c r="AG10" s="23"/>
    </row>
    <row r="11" spans="1:35" ht="18" x14ac:dyDescent="0.35">
      <c r="A11" s="9" t="s">
        <v>111</v>
      </c>
      <c r="B11" s="11" t="s">
        <v>63</v>
      </c>
      <c r="C11" s="10" t="s">
        <v>54</v>
      </c>
      <c r="D11" s="11" t="s">
        <v>64</v>
      </c>
      <c r="E11" s="15">
        <v>500</v>
      </c>
      <c r="F11" s="12" t="s">
        <v>32</v>
      </c>
      <c r="G11" s="13"/>
      <c r="H11" s="10">
        <v>10008927</v>
      </c>
      <c r="I11" s="14">
        <v>30</v>
      </c>
      <c r="J11" s="13" t="s">
        <v>65</v>
      </c>
      <c r="K11" s="13">
        <v>6450</v>
      </c>
      <c r="L11" s="13">
        <v>3</v>
      </c>
      <c r="M11" s="13" t="s">
        <v>38</v>
      </c>
      <c r="N11" s="13">
        <v>660</v>
      </c>
      <c r="O11" s="13"/>
      <c r="P11" s="15">
        <f>500-396</f>
        <v>104</v>
      </c>
      <c r="Q11" s="16">
        <v>0</v>
      </c>
      <c r="R11" s="17">
        <v>-0.20773559999999996</v>
      </c>
      <c r="S11" s="18"/>
      <c r="T11" s="19" t="s">
        <v>36</v>
      </c>
      <c r="U11" s="10" t="s">
        <v>66</v>
      </c>
      <c r="V11" s="10" t="s">
        <v>37</v>
      </c>
      <c r="W11" s="20" t="s">
        <v>67</v>
      </c>
      <c r="X11" s="21" t="s">
        <v>107</v>
      </c>
      <c r="Y11" s="13" t="s">
        <v>68</v>
      </c>
      <c r="Z11" s="13" t="s">
        <v>35</v>
      </c>
      <c r="AA11" s="13">
        <v>2201002</v>
      </c>
      <c r="AB11" s="13" t="s">
        <v>40</v>
      </c>
      <c r="AC11" s="22">
        <v>725</v>
      </c>
      <c r="AD11" s="22"/>
      <c r="AE11" s="22"/>
      <c r="AF11" s="22"/>
      <c r="AG11" s="23" t="s">
        <v>69</v>
      </c>
      <c r="AH11" t="s">
        <v>108</v>
      </c>
    </row>
    <row r="12" spans="1:35" ht="18" x14ac:dyDescent="0.35">
      <c r="A12" s="9" t="s">
        <v>123</v>
      </c>
      <c r="B12" s="11" t="s">
        <v>87</v>
      </c>
      <c r="C12" s="10" t="s">
        <v>109</v>
      </c>
      <c r="D12" s="11" t="s">
        <v>73</v>
      </c>
      <c r="E12" s="15">
        <v>1800</v>
      </c>
      <c r="F12" s="12" t="s">
        <v>32</v>
      </c>
      <c r="G12" s="13"/>
      <c r="H12" s="10">
        <v>10008908</v>
      </c>
      <c r="I12" s="14">
        <v>20</v>
      </c>
      <c r="J12" s="13" t="s">
        <v>88</v>
      </c>
      <c r="K12" s="13">
        <v>6450</v>
      </c>
      <c r="L12" s="13">
        <v>3</v>
      </c>
      <c r="M12" s="13" t="s">
        <v>38</v>
      </c>
      <c r="N12" s="13">
        <v>760</v>
      </c>
      <c r="O12" s="13"/>
      <c r="P12" s="15">
        <v>206.72</v>
      </c>
      <c r="Q12" s="16">
        <v>0</v>
      </c>
      <c r="R12" s="17">
        <v>-0.11484444444444444</v>
      </c>
      <c r="S12" s="18"/>
      <c r="T12" s="19" t="s">
        <v>36</v>
      </c>
      <c r="U12" s="10" t="s">
        <v>51</v>
      </c>
      <c r="V12" s="10" t="s">
        <v>37</v>
      </c>
      <c r="W12" s="20" t="s">
        <v>39</v>
      </c>
      <c r="X12" s="21" t="s">
        <v>107</v>
      </c>
      <c r="Y12" s="13" t="s">
        <v>89</v>
      </c>
      <c r="Z12" s="13" t="s">
        <v>35</v>
      </c>
      <c r="AA12" s="13">
        <v>2200103</v>
      </c>
      <c r="AB12" s="13" t="s">
        <v>40</v>
      </c>
      <c r="AC12" s="22">
        <v>725</v>
      </c>
      <c r="AD12" s="22"/>
      <c r="AE12" s="22"/>
      <c r="AF12" s="22"/>
      <c r="AG12" s="23" t="s">
        <v>90</v>
      </c>
      <c r="AH12" t="s">
        <v>108</v>
      </c>
    </row>
    <row r="13" spans="1:35" ht="18" x14ac:dyDescent="0.35">
      <c r="A13" s="9" t="s">
        <v>115</v>
      </c>
      <c r="B13" s="11" t="s">
        <v>42</v>
      </c>
      <c r="C13" s="10" t="s">
        <v>109</v>
      </c>
      <c r="D13" s="11" t="s">
        <v>79</v>
      </c>
      <c r="E13" s="15">
        <v>2000</v>
      </c>
      <c r="F13" s="12" t="s">
        <v>32</v>
      </c>
      <c r="G13" s="13"/>
      <c r="H13" s="10">
        <v>10008994</v>
      </c>
      <c r="I13" s="14">
        <v>10</v>
      </c>
      <c r="J13" s="13" t="s">
        <v>80</v>
      </c>
      <c r="K13" s="13">
        <v>6450</v>
      </c>
      <c r="L13" s="13">
        <v>3</v>
      </c>
      <c r="M13" s="13" t="s">
        <v>38</v>
      </c>
      <c r="N13" s="13">
        <v>864</v>
      </c>
      <c r="O13" s="13"/>
      <c r="P13" s="15">
        <v>2000</v>
      </c>
      <c r="Q13" s="16">
        <v>0</v>
      </c>
      <c r="R13" s="17">
        <v>-1</v>
      </c>
      <c r="S13" s="18"/>
      <c r="T13" s="19" t="s">
        <v>36</v>
      </c>
      <c r="U13" s="10" t="s">
        <v>81</v>
      </c>
      <c r="V13" s="10" t="s">
        <v>37</v>
      </c>
      <c r="W13" s="20" t="s">
        <v>39</v>
      </c>
      <c r="X13" s="21" t="s">
        <v>110</v>
      </c>
      <c r="Y13" s="13" t="s">
        <v>82</v>
      </c>
      <c r="Z13" s="13" t="s">
        <v>35</v>
      </c>
      <c r="AA13" s="13">
        <v>2200475</v>
      </c>
      <c r="AB13" s="13" t="s">
        <v>40</v>
      </c>
      <c r="AC13" s="22">
        <v>725</v>
      </c>
      <c r="AD13" s="22"/>
      <c r="AE13" s="22"/>
      <c r="AF13" s="22"/>
      <c r="AG13" s="23" t="s">
        <v>62</v>
      </c>
      <c r="AH13" t="s">
        <v>108</v>
      </c>
    </row>
    <row r="14" spans="1:35" ht="18" x14ac:dyDescent="0.35">
      <c r="A14" s="9"/>
      <c r="B14" s="11"/>
      <c r="C14" s="10"/>
      <c r="D14" s="11"/>
      <c r="E14" s="15"/>
      <c r="F14" s="12" t="s">
        <v>34</v>
      </c>
      <c r="G14" s="13"/>
      <c r="H14" s="10"/>
      <c r="I14" s="14"/>
      <c r="J14" s="13"/>
      <c r="K14" s="13"/>
      <c r="L14" s="13"/>
      <c r="M14" s="13"/>
      <c r="N14" s="13"/>
      <c r="O14" s="13"/>
      <c r="P14" s="15"/>
      <c r="Q14" s="16"/>
      <c r="R14" s="17"/>
      <c r="S14" s="18"/>
      <c r="T14" s="19"/>
      <c r="U14" s="10"/>
      <c r="V14" s="10"/>
      <c r="W14" s="20"/>
      <c r="X14" s="21"/>
      <c r="Y14" s="13"/>
      <c r="Z14" s="13"/>
      <c r="AA14" s="13"/>
      <c r="AB14" s="13"/>
      <c r="AC14" s="22"/>
      <c r="AD14" s="22"/>
      <c r="AE14" s="22"/>
      <c r="AF14" s="22"/>
      <c r="AG14" s="23"/>
    </row>
    <row r="15" spans="1:35" ht="18" x14ac:dyDescent="0.35">
      <c r="A15" s="9" t="s">
        <v>116</v>
      </c>
      <c r="B15" s="11" t="s">
        <v>84</v>
      </c>
      <c r="C15" s="10" t="s">
        <v>41</v>
      </c>
      <c r="D15" s="11" t="s">
        <v>52</v>
      </c>
      <c r="E15" s="15">
        <v>1000</v>
      </c>
      <c r="F15" s="12" t="s">
        <v>32</v>
      </c>
      <c r="G15" s="13"/>
      <c r="H15" s="10">
        <v>10008846</v>
      </c>
      <c r="I15" s="14">
        <v>10</v>
      </c>
      <c r="J15" s="13" t="s">
        <v>85</v>
      </c>
      <c r="K15" s="13">
        <v>12900</v>
      </c>
      <c r="L15" s="13">
        <v>6</v>
      </c>
      <c r="M15" s="13" t="s">
        <v>38</v>
      </c>
      <c r="N15" s="13">
        <v>510</v>
      </c>
      <c r="O15" s="13"/>
      <c r="P15" s="15">
        <v>1000</v>
      </c>
      <c r="Q15" s="16">
        <v>0</v>
      </c>
      <c r="R15" s="17">
        <v>-1</v>
      </c>
      <c r="S15" s="18"/>
      <c r="T15" s="19" t="s">
        <v>83</v>
      </c>
      <c r="U15" s="10" t="s">
        <v>43</v>
      </c>
      <c r="V15" s="10" t="s">
        <v>37</v>
      </c>
      <c r="W15" s="20" t="s">
        <v>44</v>
      </c>
      <c r="X15" s="21" t="s">
        <v>110</v>
      </c>
      <c r="Y15" s="13" t="s">
        <v>86</v>
      </c>
      <c r="Z15" s="13" t="s">
        <v>35</v>
      </c>
      <c r="AA15" s="13">
        <v>2200159</v>
      </c>
      <c r="AB15" s="13" t="s">
        <v>40</v>
      </c>
      <c r="AC15" s="22">
        <v>725</v>
      </c>
      <c r="AD15" s="22"/>
      <c r="AE15" s="22"/>
      <c r="AF15" s="22"/>
      <c r="AG15" s="23" t="s">
        <v>46</v>
      </c>
      <c r="AH15" t="s">
        <v>108</v>
      </c>
    </row>
    <row r="16" spans="1:35" ht="18" x14ac:dyDescent="0.35">
      <c r="A16" s="9" t="s">
        <v>117</v>
      </c>
      <c r="B16" s="11" t="s">
        <v>84</v>
      </c>
      <c r="C16" s="10" t="s">
        <v>41</v>
      </c>
      <c r="D16" s="11" t="s">
        <v>52</v>
      </c>
      <c r="E16" s="15">
        <v>3000</v>
      </c>
      <c r="F16" s="12" t="s">
        <v>32</v>
      </c>
      <c r="G16" s="13"/>
      <c r="H16" s="10">
        <v>10008846</v>
      </c>
      <c r="I16" s="14">
        <v>20</v>
      </c>
      <c r="J16" s="13" t="s">
        <v>85</v>
      </c>
      <c r="K16" s="13">
        <v>12900</v>
      </c>
      <c r="L16" s="13">
        <v>6</v>
      </c>
      <c r="M16" s="13" t="s">
        <v>38</v>
      </c>
      <c r="N16" s="13">
        <v>660</v>
      </c>
      <c r="O16" s="13"/>
      <c r="P16" s="15">
        <v>3000</v>
      </c>
      <c r="Q16" s="16">
        <v>0</v>
      </c>
      <c r="R16" s="17">
        <v>-1</v>
      </c>
      <c r="S16" s="18"/>
      <c r="T16" s="19" t="s">
        <v>83</v>
      </c>
      <c r="U16" s="10" t="s">
        <v>43</v>
      </c>
      <c r="V16" s="10" t="s">
        <v>37</v>
      </c>
      <c r="W16" s="20" t="s">
        <v>44</v>
      </c>
      <c r="X16" s="21" t="s">
        <v>110</v>
      </c>
      <c r="Y16" s="13" t="s">
        <v>86</v>
      </c>
      <c r="Z16" s="13" t="s">
        <v>35</v>
      </c>
      <c r="AA16" s="13">
        <v>2200159</v>
      </c>
      <c r="AB16" s="13" t="s">
        <v>40</v>
      </c>
      <c r="AC16" s="22">
        <v>725</v>
      </c>
      <c r="AD16" s="22"/>
      <c r="AE16" s="22"/>
      <c r="AF16" s="22"/>
      <c r="AG16" s="23" t="s">
        <v>46</v>
      </c>
      <c r="AH16" t="s">
        <v>108</v>
      </c>
    </row>
    <row r="17" spans="1:34" ht="18" x14ac:dyDescent="0.35">
      <c r="A17" s="9" t="s">
        <v>118</v>
      </c>
      <c r="B17" s="11" t="s">
        <v>84</v>
      </c>
      <c r="C17" s="10" t="s">
        <v>41</v>
      </c>
      <c r="D17" s="11" t="s">
        <v>52</v>
      </c>
      <c r="E17" s="15">
        <v>3000</v>
      </c>
      <c r="F17" s="12" t="s">
        <v>32</v>
      </c>
      <c r="G17" s="13"/>
      <c r="H17" s="10">
        <v>10008846</v>
      </c>
      <c r="I17" s="14">
        <v>30</v>
      </c>
      <c r="J17" s="13" t="s">
        <v>85</v>
      </c>
      <c r="K17" s="13">
        <v>12900</v>
      </c>
      <c r="L17" s="13">
        <v>6</v>
      </c>
      <c r="M17" s="13" t="s">
        <v>38</v>
      </c>
      <c r="N17" s="13">
        <v>680</v>
      </c>
      <c r="O17" s="13"/>
      <c r="P17" s="15">
        <v>3000</v>
      </c>
      <c r="Q17" s="16">
        <v>0</v>
      </c>
      <c r="R17" s="17">
        <v>-1</v>
      </c>
      <c r="S17" s="18"/>
      <c r="T17" s="19" t="s">
        <v>83</v>
      </c>
      <c r="U17" s="10" t="s">
        <v>43</v>
      </c>
      <c r="V17" s="10" t="s">
        <v>37</v>
      </c>
      <c r="W17" s="20" t="s">
        <v>44</v>
      </c>
      <c r="X17" s="21" t="s">
        <v>110</v>
      </c>
      <c r="Y17" s="13" t="s">
        <v>86</v>
      </c>
      <c r="Z17" s="13" t="s">
        <v>35</v>
      </c>
      <c r="AA17" s="13">
        <v>2200159</v>
      </c>
      <c r="AB17" s="13" t="s">
        <v>40</v>
      </c>
      <c r="AC17" s="22">
        <v>725</v>
      </c>
      <c r="AD17" s="22"/>
      <c r="AE17" s="22"/>
      <c r="AF17" s="22"/>
      <c r="AG17" s="23" t="s">
        <v>46</v>
      </c>
      <c r="AH17" t="s">
        <v>108</v>
      </c>
    </row>
    <row r="18" spans="1:34" ht="18" x14ac:dyDescent="0.35">
      <c r="A18" s="9" t="s">
        <v>119</v>
      </c>
      <c r="B18" s="11" t="s">
        <v>84</v>
      </c>
      <c r="C18" s="10" t="s">
        <v>41</v>
      </c>
      <c r="D18" s="11" t="s">
        <v>52</v>
      </c>
      <c r="E18" s="15">
        <v>1000</v>
      </c>
      <c r="F18" s="12" t="s">
        <v>32</v>
      </c>
      <c r="G18" s="13"/>
      <c r="H18" s="10">
        <v>10008846</v>
      </c>
      <c r="I18" s="14">
        <v>40</v>
      </c>
      <c r="J18" s="13" t="s">
        <v>85</v>
      </c>
      <c r="K18" s="13">
        <v>12900</v>
      </c>
      <c r="L18" s="13">
        <v>6</v>
      </c>
      <c r="M18" s="13" t="s">
        <v>38</v>
      </c>
      <c r="N18" s="13">
        <v>700</v>
      </c>
      <c r="O18" s="13"/>
      <c r="P18" s="15">
        <v>1000</v>
      </c>
      <c r="Q18" s="16">
        <v>0</v>
      </c>
      <c r="R18" s="17">
        <v>-1</v>
      </c>
      <c r="S18" s="18"/>
      <c r="T18" s="19" t="s">
        <v>83</v>
      </c>
      <c r="U18" s="10" t="s">
        <v>43</v>
      </c>
      <c r="V18" s="10" t="s">
        <v>37</v>
      </c>
      <c r="W18" s="20" t="s">
        <v>44</v>
      </c>
      <c r="X18" s="21" t="s">
        <v>110</v>
      </c>
      <c r="Y18" s="13" t="s">
        <v>86</v>
      </c>
      <c r="Z18" s="13" t="s">
        <v>35</v>
      </c>
      <c r="AA18" s="13">
        <v>2200159</v>
      </c>
      <c r="AB18" s="13" t="s">
        <v>40</v>
      </c>
      <c r="AC18" s="22">
        <v>725</v>
      </c>
      <c r="AD18" s="22"/>
      <c r="AE18" s="22"/>
      <c r="AF18" s="22"/>
      <c r="AG18" s="23" t="s">
        <v>46</v>
      </c>
      <c r="AH18" t="s">
        <v>108</v>
      </c>
    </row>
    <row r="19" spans="1:34" ht="18" x14ac:dyDescent="0.35">
      <c r="A19" s="9" t="s">
        <v>120</v>
      </c>
      <c r="B19" s="11" t="s">
        <v>84</v>
      </c>
      <c r="C19" s="10" t="s">
        <v>41</v>
      </c>
      <c r="D19" s="11" t="s">
        <v>52</v>
      </c>
      <c r="E19" s="15">
        <v>1000</v>
      </c>
      <c r="F19" s="12" t="s">
        <v>32</v>
      </c>
      <c r="G19" s="13"/>
      <c r="H19" s="10">
        <v>10008846</v>
      </c>
      <c r="I19" s="14">
        <v>50</v>
      </c>
      <c r="J19" s="13" t="s">
        <v>85</v>
      </c>
      <c r="K19" s="13">
        <v>12900</v>
      </c>
      <c r="L19" s="13">
        <v>6</v>
      </c>
      <c r="M19" s="13" t="s">
        <v>38</v>
      </c>
      <c r="N19" s="13">
        <v>720</v>
      </c>
      <c r="O19" s="13"/>
      <c r="P19" s="15">
        <v>1000</v>
      </c>
      <c r="Q19" s="16">
        <v>0</v>
      </c>
      <c r="R19" s="17">
        <v>-1</v>
      </c>
      <c r="S19" s="18"/>
      <c r="T19" s="19" t="s">
        <v>83</v>
      </c>
      <c r="U19" s="10" t="s">
        <v>43</v>
      </c>
      <c r="V19" s="10" t="s">
        <v>37</v>
      </c>
      <c r="W19" s="20" t="s">
        <v>44</v>
      </c>
      <c r="X19" s="21" t="s">
        <v>110</v>
      </c>
      <c r="Y19" s="13" t="s">
        <v>86</v>
      </c>
      <c r="Z19" s="13" t="s">
        <v>35</v>
      </c>
      <c r="AA19" s="13">
        <v>2200159</v>
      </c>
      <c r="AB19" s="13" t="s">
        <v>40</v>
      </c>
      <c r="AC19" s="22">
        <v>725</v>
      </c>
      <c r="AD19" s="22"/>
      <c r="AE19" s="22"/>
      <c r="AF19" s="22"/>
      <c r="AG19" s="23" t="s">
        <v>46</v>
      </c>
      <c r="AH19" t="s">
        <v>108</v>
      </c>
    </row>
    <row r="20" spans="1:34" ht="18" x14ac:dyDescent="0.35">
      <c r="A20" s="9" t="s">
        <v>121</v>
      </c>
      <c r="B20" s="11" t="s">
        <v>84</v>
      </c>
      <c r="C20" s="10" t="s">
        <v>41</v>
      </c>
      <c r="D20" s="11" t="s">
        <v>52</v>
      </c>
      <c r="E20" s="15">
        <v>2000</v>
      </c>
      <c r="F20" s="12" t="s">
        <v>32</v>
      </c>
      <c r="G20" s="13"/>
      <c r="H20" s="10">
        <v>10008846</v>
      </c>
      <c r="I20" s="14">
        <v>60</v>
      </c>
      <c r="J20" s="13" t="s">
        <v>85</v>
      </c>
      <c r="K20" s="13">
        <v>12900</v>
      </c>
      <c r="L20" s="13">
        <v>6</v>
      </c>
      <c r="M20" s="13" t="s">
        <v>38</v>
      </c>
      <c r="N20" s="13">
        <v>930</v>
      </c>
      <c r="O20" s="13"/>
      <c r="P20" s="15">
        <f>2000-635</f>
        <v>1365</v>
      </c>
      <c r="Q20" s="16">
        <v>0</v>
      </c>
      <c r="R20" s="17">
        <v>-0.68214999999999992</v>
      </c>
      <c r="S20" s="18"/>
      <c r="T20" s="19" t="s">
        <v>83</v>
      </c>
      <c r="U20" s="10" t="s">
        <v>43</v>
      </c>
      <c r="V20" s="10" t="s">
        <v>37</v>
      </c>
      <c r="W20" s="20" t="s">
        <v>44</v>
      </c>
      <c r="X20" s="21" t="s">
        <v>110</v>
      </c>
      <c r="Y20" s="13" t="s">
        <v>86</v>
      </c>
      <c r="Z20" s="13" t="s">
        <v>35</v>
      </c>
      <c r="AA20" s="13">
        <v>2200159</v>
      </c>
      <c r="AB20" s="13" t="s">
        <v>40</v>
      </c>
      <c r="AC20" s="22">
        <v>725</v>
      </c>
      <c r="AD20" s="22"/>
      <c r="AE20" s="22"/>
      <c r="AF20" s="22"/>
      <c r="AG20" s="23" t="s">
        <v>46</v>
      </c>
      <c r="AH20" t="s">
        <v>108</v>
      </c>
    </row>
    <row r="21" spans="1:34" ht="18" x14ac:dyDescent="0.35">
      <c r="A21" s="9" t="s">
        <v>122</v>
      </c>
      <c r="B21" s="11" t="s">
        <v>84</v>
      </c>
      <c r="C21" s="10" t="s">
        <v>41</v>
      </c>
      <c r="D21" s="11" t="s">
        <v>52</v>
      </c>
      <c r="E21" s="15">
        <v>1000</v>
      </c>
      <c r="F21" s="12" t="s">
        <v>32</v>
      </c>
      <c r="G21" s="13"/>
      <c r="H21" s="10">
        <v>10008846</v>
      </c>
      <c r="I21" s="14">
        <v>80</v>
      </c>
      <c r="J21" s="13" t="s">
        <v>85</v>
      </c>
      <c r="K21" s="13">
        <v>12900</v>
      </c>
      <c r="L21" s="13">
        <v>6</v>
      </c>
      <c r="M21" s="13" t="s">
        <v>38</v>
      </c>
      <c r="N21" s="13">
        <v>1010</v>
      </c>
      <c r="O21" s="13"/>
      <c r="P21" s="15">
        <v>1000</v>
      </c>
      <c r="Q21" s="16">
        <v>0</v>
      </c>
      <c r="R21" s="17">
        <v>-1</v>
      </c>
      <c r="S21" s="18"/>
      <c r="T21" s="19" t="s">
        <v>83</v>
      </c>
      <c r="U21" s="10" t="s">
        <v>43</v>
      </c>
      <c r="V21" s="10" t="s">
        <v>37</v>
      </c>
      <c r="W21" s="20" t="s">
        <v>44</v>
      </c>
      <c r="X21" s="21" t="s">
        <v>110</v>
      </c>
      <c r="Y21" s="13" t="s">
        <v>86</v>
      </c>
      <c r="Z21" s="13" t="s">
        <v>35</v>
      </c>
      <c r="AA21" s="13">
        <v>2200159</v>
      </c>
      <c r="AB21" s="13" t="s">
        <v>40</v>
      </c>
      <c r="AC21" s="22">
        <v>725</v>
      </c>
      <c r="AD21" s="22"/>
      <c r="AE21" s="22"/>
      <c r="AF21" s="22"/>
      <c r="AG21" s="23" t="s">
        <v>46</v>
      </c>
      <c r="AH21" t="s">
        <v>108</v>
      </c>
    </row>
    <row r="22" spans="1:34" ht="18" x14ac:dyDescent="0.35">
      <c r="A22" s="9" t="s">
        <v>126</v>
      </c>
      <c r="B22" s="11" t="s">
        <v>87</v>
      </c>
      <c r="C22" s="10" t="s">
        <v>106</v>
      </c>
      <c r="D22" s="11" t="s">
        <v>52</v>
      </c>
      <c r="E22" s="15">
        <v>5000</v>
      </c>
      <c r="F22" s="12" t="s">
        <v>32</v>
      </c>
      <c r="G22" s="13"/>
      <c r="H22" s="10">
        <v>10008920</v>
      </c>
      <c r="I22" s="14">
        <v>30</v>
      </c>
      <c r="J22" s="13" t="s">
        <v>98</v>
      </c>
      <c r="K22" s="13">
        <v>12900</v>
      </c>
      <c r="L22" s="13">
        <v>6</v>
      </c>
      <c r="M22" s="13" t="s">
        <v>38</v>
      </c>
      <c r="N22" s="13">
        <v>1215</v>
      </c>
      <c r="O22" s="13"/>
      <c r="P22" s="15">
        <v>5000</v>
      </c>
      <c r="Q22" s="16">
        <v>0</v>
      </c>
      <c r="R22" s="17">
        <v>-1</v>
      </c>
      <c r="S22" s="18"/>
      <c r="T22" s="19" t="s">
        <v>83</v>
      </c>
      <c r="U22" s="10" t="s">
        <v>51</v>
      </c>
      <c r="V22" s="10" t="s">
        <v>37</v>
      </c>
      <c r="W22" s="20" t="s">
        <v>56</v>
      </c>
      <c r="X22" s="21" t="s">
        <v>110</v>
      </c>
      <c r="Y22" s="13" t="s">
        <v>99</v>
      </c>
      <c r="Z22" s="13" t="s">
        <v>35</v>
      </c>
      <c r="AA22" s="13">
        <v>2200457</v>
      </c>
      <c r="AB22" s="13" t="s">
        <v>45</v>
      </c>
      <c r="AC22" s="22">
        <v>725</v>
      </c>
      <c r="AD22" s="22"/>
      <c r="AE22" s="22"/>
      <c r="AF22" s="22"/>
      <c r="AG22" s="23">
        <v>200001658</v>
      </c>
      <c r="AH22" t="s">
        <v>108</v>
      </c>
    </row>
    <row r="23" spans="1:34" ht="18" x14ac:dyDescent="0.35">
      <c r="A23" s="9" t="s">
        <v>112</v>
      </c>
      <c r="B23" s="11" t="s">
        <v>53</v>
      </c>
      <c r="C23" s="10" t="s">
        <v>109</v>
      </c>
      <c r="D23" s="11" t="s">
        <v>47</v>
      </c>
      <c r="E23" s="15">
        <v>600</v>
      </c>
      <c r="F23" s="12" t="s">
        <v>32</v>
      </c>
      <c r="G23" s="13"/>
      <c r="H23" s="10">
        <v>10008836</v>
      </c>
      <c r="I23" s="14">
        <v>210</v>
      </c>
      <c r="J23" s="13" t="s">
        <v>71</v>
      </c>
      <c r="K23" s="13">
        <v>12900</v>
      </c>
      <c r="L23" s="13">
        <v>6</v>
      </c>
      <c r="M23" s="13" t="s">
        <v>38</v>
      </c>
      <c r="N23" s="13">
        <v>1277</v>
      </c>
      <c r="O23" s="13"/>
      <c r="P23" s="15">
        <v>158.9</v>
      </c>
      <c r="Q23" s="16">
        <v>0</v>
      </c>
      <c r="R23" s="17">
        <v>-0.26483333333333337</v>
      </c>
      <c r="S23" s="18"/>
      <c r="T23" s="19" t="s">
        <v>70</v>
      </c>
      <c r="U23" s="10" t="s">
        <v>51</v>
      </c>
      <c r="V23" s="10" t="s">
        <v>37</v>
      </c>
      <c r="W23" s="20" t="s">
        <v>56</v>
      </c>
      <c r="X23" s="21" t="s">
        <v>107</v>
      </c>
      <c r="Y23" s="13" t="s">
        <v>72</v>
      </c>
      <c r="Z23" s="13" t="s">
        <v>35</v>
      </c>
      <c r="AA23" s="13">
        <v>2200095</v>
      </c>
      <c r="AB23" s="13" t="s">
        <v>40</v>
      </c>
      <c r="AC23" s="22">
        <v>730</v>
      </c>
      <c r="AD23" s="22"/>
      <c r="AE23" s="22"/>
      <c r="AF23" s="22"/>
      <c r="AG23" s="23">
        <v>14106</v>
      </c>
      <c r="AH23" t="s">
        <v>108</v>
      </c>
    </row>
    <row r="25" spans="1:34" x14ac:dyDescent="0.3">
      <c r="F25" s="25" t="s">
        <v>91</v>
      </c>
      <c r="G25" s="25"/>
      <c r="H25" s="25">
        <v>11001794</v>
      </c>
      <c r="I25" s="25">
        <v>10</v>
      </c>
      <c r="J25" s="25" t="s">
        <v>128</v>
      </c>
      <c r="K25" s="25">
        <v>12900</v>
      </c>
      <c r="L25" s="25">
        <v>6</v>
      </c>
      <c r="M25" s="25" t="s">
        <v>38</v>
      </c>
      <c r="N25" s="25">
        <v>880</v>
      </c>
      <c r="O25" s="25"/>
      <c r="P25" s="25">
        <v>15495.48</v>
      </c>
    </row>
    <row r="26" spans="1:34" x14ac:dyDescent="0.3">
      <c r="F26" s="25" t="s">
        <v>91</v>
      </c>
      <c r="G26" s="25"/>
      <c r="H26" s="25">
        <v>11001794</v>
      </c>
      <c r="I26" s="25">
        <v>20</v>
      </c>
      <c r="J26" s="25" t="s">
        <v>128</v>
      </c>
      <c r="K26" s="25">
        <v>12900</v>
      </c>
      <c r="L26" s="25">
        <v>6</v>
      </c>
      <c r="M26" s="25" t="s">
        <v>38</v>
      </c>
      <c r="N26" s="25">
        <v>850</v>
      </c>
      <c r="O26" s="25"/>
      <c r="P26" s="25">
        <v>2993.45</v>
      </c>
    </row>
    <row r="27" spans="1:34" x14ac:dyDescent="0.3">
      <c r="F27" s="25" t="s">
        <v>91</v>
      </c>
      <c r="G27" s="25"/>
      <c r="H27" s="25">
        <v>11001794</v>
      </c>
      <c r="I27" s="25">
        <v>30</v>
      </c>
      <c r="J27" s="25" t="s">
        <v>128</v>
      </c>
      <c r="K27" s="25">
        <v>12900</v>
      </c>
      <c r="L27" s="25">
        <v>6</v>
      </c>
      <c r="M27" s="25" t="s">
        <v>38</v>
      </c>
      <c r="N27" s="25">
        <v>830</v>
      </c>
      <c r="O27" s="25"/>
      <c r="P27" s="25">
        <v>6430.62</v>
      </c>
    </row>
    <row r="28" spans="1:34" x14ac:dyDescent="0.3">
      <c r="F28" s="25" t="s">
        <v>32</v>
      </c>
      <c r="G28" s="25"/>
      <c r="H28" s="25">
        <v>15002467</v>
      </c>
      <c r="I28" s="25">
        <v>30</v>
      </c>
      <c r="J28" s="25" t="s">
        <v>55</v>
      </c>
      <c r="K28" s="25">
        <v>12900</v>
      </c>
      <c r="L28" s="25">
        <v>6</v>
      </c>
      <c r="M28" s="25" t="s">
        <v>38</v>
      </c>
      <c r="N28" s="25">
        <v>1005</v>
      </c>
      <c r="O28" s="25"/>
      <c r="P28" s="25">
        <v>1500</v>
      </c>
    </row>
    <row r="29" spans="1:34" x14ac:dyDescent="0.3">
      <c r="F29" s="25" t="s">
        <v>32</v>
      </c>
      <c r="G29" s="25"/>
      <c r="H29" s="25">
        <v>15002484</v>
      </c>
      <c r="I29" s="25">
        <v>40</v>
      </c>
      <c r="J29" s="25" t="s">
        <v>97</v>
      </c>
      <c r="K29" s="25">
        <v>12900</v>
      </c>
      <c r="L29" s="25">
        <v>6</v>
      </c>
      <c r="M29" s="25" t="s">
        <v>38</v>
      </c>
      <c r="N29" s="25">
        <v>1003</v>
      </c>
      <c r="O29" s="25"/>
      <c r="P29" s="25">
        <v>2500</v>
      </c>
    </row>
    <row r="30" spans="1:34" x14ac:dyDescent="0.3"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</row>
    <row r="31" spans="1:34" x14ac:dyDescent="0.3">
      <c r="F31" s="25" t="s">
        <v>91</v>
      </c>
      <c r="G31" s="25"/>
      <c r="H31" s="25">
        <v>11001805</v>
      </c>
      <c r="I31" s="25">
        <v>10</v>
      </c>
      <c r="J31" s="25" t="s">
        <v>129</v>
      </c>
      <c r="K31" s="25">
        <v>6450</v>
      </c>
      <c r="L31" s="25">
        <v>3</v>
      </c>
      <c r="M31" s="25" t="s">
        <v>33</v>
      </c>
      <c r="N31" s="25">
        <v>1140</v>
      </c>
      <c r="O31" s="25"/>
      <c r="P31" s="25">
        <v>2408.84</v>
      </c>
    </row>
    <row r="32" spans="1:34" x14ac:dyDescent="0.3">
      <c r="F32" s="25" t="s">
        <v>91</v>
      </c>
      <c r="G32" s="25"/>
      <c r="H32" s="25">
        <v>11001805</v>
      </c>
      <c r="I32" s="25">
        <v>30</v>
      </c>
      <c r="J32" s="25" t="s">
        <v>129</v>
      </c>
      <c r="K32" s="25">
        <v>6450</v>
      </c>
      <c r="L32" s="25">
        <v>3</v>
      </c>
      <c r="M32" s="25" t="s">
        <v>33</v>
      </c>
      <c r="N32" s="25">
        <v>1330</v>
      </c>
      <c r="O32" s="25"/>
      <c r="P32" s="25">
        <v>1405.16</v>
      </c>
    </row>
    <row r="33" spans="6:16" x14ac:dyDescent="0.3">
      <c r="F33" s="25" t="s">
        <v>91</v>
      </c>
      <c r="G33" s="25"/>
      <c r="H33" s="25">
        <v>11001805</v>
      </c>
      <c r="I33" s="25">
        <v>40</v>
      </c>
      <c r="J33" s="25" t="s">
        <v>129</v>
      </c>
      <c r="K33" s="25">
        <v>12900</v>
      </c>
      <c r="L33" s="25">
        <v>6</v>
      </c>
      <c r="M33" s="25" t="s">
        <v>33</v>
      </c>
      <c r="N33" s="25">
        <v>920</v>
      </c>
      <c r="O33" s="25"/>
      <c r="P33" s="25">
        <v>10367.879999999999</v>
      </c>
    </row>
    <row r="34" spans="6:16" x14ac:dyDescent="0.3">
      <c r="F34" s="25" t="s">
        <v>91</v>
      </c>
      <c r="G34" s="25"/>
      <c r="H34" s="25">
        <v>11001805</v>
      </c>
      <c r="I34" s="25">
        <v>50</v>
      </c>
      <c r="J34" s="25" t="s">
        <v>129</v>
      </c>
      <c r="K34" s="25">
        <v>12900</v>
      </c>
      <c r="L34" s="25">
        <v>6</v>
      </c>
      <c r="M34" s="25" t="s">
        <v>33</v>
      </c>
      <c r="N34" s="25">
        <v>970</v>
      </c>
      <c r="O34" s="25"/>
      <c r="P34" s="25">
        <v>3074.44</v>
      </c>
    </row>
  </sheetData>
  <sortState xmlns:xlrd2="http://schemas.microsoft.com/office/spreadsheetml/2017/richdata2" ref="A2:AH23">
    <sortCondition ref="F1:F23"/>
    <sortCondition ref="K1:K23"/>
    <sortCondition ref="L1:L23"/>
    <sortCondition ref="M1:M23"/>
    <sortCondition ref="N1:N23"/>
  </sortState>
  <conditionalFormatting sqref="A2:A23">
    <cfRule type="expression" dxfId="27" priority="197" stopIfTrue="1">
      <formula>COUNTIF($A:$A,$A2)&gt;1</formula>
    </cfRule>
    <cfRule type="expression" dxfId="26" priority="198" stopIfTrue="1">
      <formula>DATEVALUE(SUBSTITUTE($B2,".","-"))=TODAY()-1</formula>
    </cfRule>
  </conditionalFormatting>
  <conditionalFormatting sqref="A24:A1048576 A1">
    <cfRule type="duplicateValues" dxfId="25" priority="199"/>
  </conditionalFormatting>
  <conditionalFormatting sqref="A24:A1048576">
    <cfRule type="duplicateValues" dxfId="24" priority="202"/>
  </conditionalFormatting>
  <conditionalFormatting sqref="B2:B23 H2:I23">
    <cfRule type="expression" dxfId="23" priority="178" stopIfTrue="1">
      <formula>$C2="Approval Pending"</formula>
    </cfRule>
    <cfRule type="expression" dxfId="22" priority="180" stopIfTrue="1">
      <formula>$C2="Clear for Dispatch"</formula>
    </cfRule>
    <cfRule type="expression" dxfId="21" priority="182" stopIfTrue="1">
      <formula>$C2="Dispatch Hold"</formula>
    </cfRule>
    <cfRule type="expression" dxfId="20" priority="184" stopIfTrue="1">
      <formula>$C2="Dispatch Hold-"</formula>
    </cfRule>
    <cfRule type="expression" dxfId="19" priority="186" stopIfTrue="1">
      <formula>$C2="Dispatch Hold-LC Expired"</formula>
    </cfRule>
    <cfRule type="expression" dxfId="18" priority="188" stopIfTrue="1">
      <formula>$C2="LC Awaited"</formula>
    </cfRule>
    <cfRule type="expression" dxfId="17" priority="190" stopIfTrue="1">
      <formula>$C2="Salesperson Request"</formula>
    </cfRule>
    <cfRule type="expression" dxfId="16" priority="192" stopIfTrue="1">
      <formula>$C2="Hold at all levels"</formula>
    </cfRule>
    <cfRule type="expression" dxfId="15" priority="194" stopIfTrue="1">
      <formula>$C2="Advance payment Clea"</formula>
    </cfRule>
  </conditionalFormatting>
  <conditionalFormatting sqref="C2:C23">
    <cfRule type="containsText" dxfId="14" priority="177" stopIfTrue="1" operator="containsText" text="Approval Pending">
      <formula>NOT(ISERROR(SEARCH("Approval Pending",C2)))</formula>
    </cfRule>
    <cfRule type="containsText" dxfId="13" priority="179" stopIfTrue="1" operator="containsText" text="Clear for Dispatch">
      <formula>NOT(ISERROR(SEARCH("Clear for Dispatch",C2)))</formula>
    </cfRule>
    <cfRule type="containsText" dxfId="12" priority="181" stopIfTrue="1" operator="containsText" text="Dispatch Hold">
      <formula>NOT(ISERROR(SEARCH("Dispatch Hold",C2)))</formula>
    </cfRule>
    <cfRule type="containsText" dxfId="11" priority="183" stopIfTrue="1" operator="containsText" text="Dispatch Hold-">
      <formula>NOT(ISERROR(SEARCH("Dispatch Hold-",C2)))</formula>
    </cfRule>
    <cfRule type="containsText" dxfId="10" priority="185" stopIfTrue="1" operator="containsText" text="Dispatch Hold-LC Expired">
      <formula>NOT(ISERROR(SEARCH("Dispatch Hold-LC Expired",C2)))</formula>
    </cfRule>
    <cfRule type="containsText" dxfId="9" priority="187" stopIfTrue="1" operator="containsText" text="LC Awaited">
      <formula>NOT(ISERROR(SEARCH("LC Awaited",C2)))</formula>
    </cfRule>
    <cfRule type="containsText" dxfId="8" priority="189" stopIfTrue="1" operator="containsText" text="Salesperson Request">
      <formula>NOT(ISERROR(SEARCH("Salesperson Request",C2)))</formula>
    </cfRule>
    <cfRule type="containsText" dxfId="7" priority="191" stopIfTrue="1" operator="containsText" text="Hold at all levels">
      <formula>NOT(ISERROR(SEARCH("Hold at all levels",C2)))</formula>
    </cfRule>
    <cfRule type="containsText" dxfId="6" priority="193" stopIfTrue="1" operator="containsText" text="Advance payment Clea">
      <formula>NOT(ISERROR(SEARCH("Advance payment Clea",C2)))</formula>
    </cfRule>
  </conditionalFormatting>
  <conditionalFormatting sqref="M2:M23">
    <cfRule type="expression" dxfId="5" priority="1" stopIfTrue="1">
      <formula>ISNUMBER(SEARCH("IS",M2))</formula>
    </cfRule>
  </conditionalFormatting>
  <conditionalFormatting sqref="R2:R23">
    <cfRule type="cellIs" dxfId="4" priority="172" stopIfTrue="1" operator="between">
      <formula>-0.99</formula>
      <formula>-0.25</formula>
    </cfRule>
    <cfRule type="cellIs" dxfId="3" priority="173" stopIfTrue="1" operator="between">
      <formula>-0.25</formula>
      <formula>-0.1</formula>
    </cfRule>
    <cfRule type="cellIs" dxfId="2" priority="174" stopIfTrue="1" operator="between">
      <formula>-0.1</formula>
      <formula>0</formula>
    </cfRule>
    <cfRule type="cellIs" dxfId="1" priority="175" stopIfTrue="1" operator="between">
      <formula>0</formula>
      <formula>0.1</formula>
    </cfRule>
    <cfRule type="cellIs" dxfId="0" priority="176" stopIfTrue="1" operator="greaterThan">
      <formula>0.1</formula>
    </cfRule>
  </conditionalFormatting>
  <pageMargins left="0.70866141732283505" right="0.70866141732283505" top="0.74803149606299202" bottom="0.74803149606299202" header="0.31496062992126" footer="0.31496062992126"/>
  <pageSetup scale="1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Filtered Balance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Iqra Mujahid</dc:creator>
  <cp:lastModifiedBy>Iqra Mujahid</cp:lastModifiedBy>
  <dcterms:created xsi:type="dcterms:W3CDTF">2026-10-06T05:31:12Z</dcterms:created>
  <dcterms:modified xsi:type="dcterms:W3CDTF">2026-10-07T05:12:26Z</dcterms:modified>
</cp:coreProperties>
</file>